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https://d.docs.live.net/fdcbf7e57cc14216/Desktop/"/>
    </mc:Choice>
  </mc:AlternateContent>
  <xr:revisionPtr revIDLastSave="479" documentId="14_{0EE64CC6-ECA7-41C1-A6A9-BA1508C34785}" xr6:coauthVersionLast="47" xr6:coauthVersionMax="47" xr10:uidLastSave="{9A2442DD-6209-4E28-90DF-4EBA371A0291}"/>
  <bookViews>
    <workbookView xWindow="-110" yWindow="-110" windowWidth="19420" windowHeight="10300" activeTab="1" xr2:uid="{5D9A299F-F30F-4DFC-9C04-02ACB73E815B}"/>
  </bookViews>
  <sheets>
    <sheet name="DATA" sheetId="2" r:id="rId1"/>
    <sheet name="Sheet1" sheetId="5" r:id="rId2"/>
  </sheets>
  <definedNames>
    <definedName name="ExternalData_1" localSheetId="0" hidden="1">DATA!$A$1:$L$6</definedName>
    <definedName name="Slicer_risk_segment">#N/A</definedName>
  </definedNames>
  <calcPr calcId="191029"/>
  <pivotCaches>
    <pivotCache cacheId="5"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DA2980-99F2-47C9-8859-990E2515892B}" keepAlive="1" name="Query - CreditDB" description="Connection to the 'CreditDB' query in the workbook." type="5" refreshedVersion="8" background="1" saveData="1">
    <dbPr connection="Provider=Microsoft.Mashup.OleDb.1;Data Source=$Workbook$;Location=CreditDB;Extended Properties=&quot;&quot;" command="SELECT * FROM [CreditDB]"/>
  </connection>
</connections>
</file>

<file path=xl/sharedStrings.xml><?xml version="1.0" encoding="utf-8"?>
<sst xmlns="http://schemas.openxmlformats.org/spreadsheetml/2006/main" count="32" uniqueCount="20">
  <si>
    <t>Medium Risk</t>
  </si>
  <si>
    <t>High Risk</t>
  </si>
  <si>
    <t>Row Labels</t>
  </si>
  <si>
    <t>Grand Total</t>
  </si>
  <si>
    <t>Count of risk_segment</t>
  </si>
  <si>
    <t>Average of loan_to_income_ratio</t>
  </si>
  <si>
    <t>Average of avg_delay_days</t>
  </si>
  <si>
    <t>Low Risk</t>
  </si>
  <si>
    <t>Column1</t>
  </si>
  <si>
    <t>Column2</t>
  </si>
  <si>
    <t>Column3</t>
  </si>
  <si>
    <t>Column4</t>
  </si>
  <si>
    <t>Column5</t>
  </si>
  <si>
    <t>Column6</t>
  </si>
  <si>
    <t>Column7</t>
  </si>
  <si>
    <t>Column8</t>
  </si>
  <si>
    <t>Column9</t>
  </si>
  <si>
    <t>Column10</t>
  </si>
  <si>
    <t>Column11</t>
  </si>
  <si>
    <t>Column12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</si>
</sst>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6" fillId="0" borderId="0" applyFont="0" applyAlignment="0">
      <alignment horizontal="center" wrapText="1"/>
    </xf>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Style 1" xfId="42" xr:uid="{F151C0DF-A96D-49E7-9B3C-C6236803D3B8}"/>
    <cellStyle name="Title" xfId="1" builtinId="15" customBuiltin="1"/>
    <cellStyle name="Total" xfId="17" builtinId="25" customBuiltin="1"/>
    <cellStyle name="Warning Text" xfId="14" builtinId="11" customBuiltin="1"/>
  </cellStyles>
  <dxfs count="6">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numFmt numFmtId="0" formatCode="General"/>
    </dxf>
  </dxfs>
  <tableStyles count="0" defaultTableStyle="TableStyleMedium2" defaultPivotStyle="PivotStyleLight16"/>
  <colors>
    <mruColors>
      <color rgb="FFE7E5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microsoft.com/office/2007/relationships/slicerCache" Target="slicerCaches/slicerCache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[project123.xlsx]DATA!PivotTable1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DATA!$I$18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5B-4E8B-8DB9-DE8A38A32F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5B-4E8B-8DB9-DE8A38A32FD4}"/>
              </c:ext>
            </c:extLst>
          </c:dPt>
          <c:cat>
            <c:strRef>
              <c:f>DATA!$H$19:$H$21</c:f>
              <c:strCache>
                <c:ptCount val="2"/>
                <c:pt idx="0">
                  <c:v>Medium Risk</c:v>
                </c:pt>
                <c:pt idx="1">
                  <c:v>Low Risk</c:v>
                </c:pt>
              </c:strCache>
            </c:strRef>
          </c:cat>
          <c:val>
            <c:numRef>
              <c:f>DATA!$I$19:$I$21</c:f>
              <c:numCache>
                <c:formatCode>General</c:formatCode>
                <c:ptCount val="2"/>
                <c:pt idx="0">
                  <c:v>4</c:v>
                </c:pt>
                <c:pt idx="1">
                  <c:v>1</c:v>
                </c:pt>
              </c:numCache>
            </c:numRef>
          </c:val>
          <c:extLst>
            <c:ext xmlns:c16="http://schemas.microsoft.com/office/drawing/2014/chart" uri="{C3380CC4-5D6E-409C-BE32-E72D297353CC}">
              <c16:uniqueId val="{00000000-8813-46A4-A682-8641C023728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[project123.xlsx]DATA!PivotTable2</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92314879081116"/>
          <c:y val="0.39280737957916639"/>
          <c:w val="0.73289616846487171"/>
          <c:h val="0.32225530611688608"/>
        </c:manualLayout>
      </c:layout>
      <c:barChart>
        <c:barDir val="col"/>
        <c:grouping val="clustered"/>
        <c:varyColors val="0"/>
        <c:ser>
          <c:idx val="0"/>
          <c:order val="0"/>
          <c:tx>
            <c:strRef>
              <c:f>DATA!$C$27</c:f>
              <c:strCache>
                <c:ptCount val="1"/>
                <c:pt idx="0">
                  <c:v>Total</c:v>
                </c:pt>
              </c:strCache>
            </c:strRef>
          </c:tx>
          <c:spPr>
            <a:solidFill>
              <a:schemeClr val="accent1"/>
            </a:solidFill>
            <a:ln>
              <a:noFill/>
            </a:ln>
            <a:effectLst/>
          </c:spPr>
          <c:invertIfNegative val="0"/>
          <c:cat>
            <c:strRef>
              <c:f>DATA!$B$28:$B$30</c:f>
              <c:strCache>
                <c:ptCount val="2"/>
                <c:pt idx="0">
                  <c:v>Medium Risk</c:v>
                </c:pt>
                <c:pt idx="1">
                  <c:v>Low Risk</c:v>
                </c:pt>
              </c:strCache>
            </c:strRef>
          </c:cat>
          <c:val>
            <c:numRef>
              <c:f>DATA!$C$28:$C$30</c:f>
              <c:numCache>
                <c:formatCode>General</c:formatCode>
                <c:ptCount val="2"/>
                <c:pt idx="0">
                  <c:v>0.54166666666666496</c:v>
                </c:pt>
                <c:pt idx="1">
                  <c:v>0.625</c:v>
                </c:pt>
              </c:numCache>
            </c:numRef>
          </c:val>
          <c:extLst>
            <c:ext xmlns:c16="http://schemas.microsoft.com/office/drawing/2014/chart" uri="{C3380CC4-5D6E-409C-BE32-E72D297353CC}">
              <c16:uniqueId val="{00000000-3532-486C-A69D-8707618A9847}"/>
            </c:ext>
          </c:extLst>
        </c:ser>
        <c:dLbls>
          <c:showLegendKey val="0"/>
          <c:showVal val="0"/>
          <c:showCatName val="0"/>
          <c:showSerName val="0"/>
          <c:showPercent val="0"/>
          <c:showBubbleSize val="0"/>
        </c:dLbls>
        <c:gapWidth val="150"/>
        <c:axId val="205462832"/>
        <c:axId val="205463312"/>
      </c:barChart>
      <c:catAx>
        <c:axId val="20546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63312"/>
        <c:crosses val="autoZero"/>
        <c:auto val="1"/>
        <c:lblAlgn val="ctr"/>
        <c:lblOffset val="100"/>
        <c:noMultiLvlLbl val="0"/>
      </c:catAx>
      <c:valAx>
        <c:axId val="205463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6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[project123.xlsx]DATA!PivotTable3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300" b="0" i="0" u="none" strike="noStrike" baseline="0"/>
              <a:t>Average Delay Days by Risk Segment</a:t>
            </a:r>
            <a:endParaRPr lang="en-US" sz="13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DATA!$L$11</c:f>
              <c:strCache>
                <c:ptCount val="1"/>
                <c:pt idx="0">
                  <c:v>Total</c:v>
                </c:pt>
              </c:strCache>
            </c:strRef>
          </c:tx>
          <c:spPr>
            <a:solidFill>
              <a:schemeClr val="accent1"/>
            </a:solidFill>
            <a:ln>
              <a:noFill/>
            </a:ln>
            <a:effectLst/>
          </c:spPr>
          <c:invertIfNegative val="0"/>
          <c:cat>
            <c:strRef>
              <c:f>DATA!$K$12:$K$14</c:f>
              <c:strCache>
                <c:ptCount val="2"/>
                <c:pt idx="0">
                  <c:v>Medium Risk</c:v>
                </c:pt>
                <c:pt idx="1">
                  <c:v>Low Risk</c:v>
                </c:pt>
              </c:strCache>
            </c:strRef>
          </c:cat>
          <c:val>
            <c:numRef>
              <c:f>DATA!$L$12:$L$14</c:f>
              <c:numCache>
                <c:formatCode>General</c:formatCode>
                <c:ptCount val="2"/>
                <c:pt idx="0">
                  <c:v>1.25</c:v>
                </c:pt>
                <c:pt idx="1">
                  <c:v>0</c:v>
                </c:pt>
              </c:numCache>
            </c:numRef>
          </c:val>
          <c:extLst>
            <c:ext xmlns:c16="http://schemas.microsoft.com/office/drawing/2014/chart" uri="{C3380CC4-5D6E-409C-BE32-E72D297353CC}">
              <c16:uniqueId val="{00000000-42AB-49F3-8CE2-D955EDF7F994}"/>
            </c:ext>
          </c:extLst>
        </c:ser>
        <c:dLbls>
          <c:showLegendKey val="0"/>
          <c:showVal val="0"/>
          <c:showCatName val="0"/>
          <c:showSerName val="0"/>
          <c:showPercent val="0"/>
          <c:showBubbleSize val="0"/>
        </c:dLbls>
        <c:gapWidth val="150"/>
        <c:overlap val="100"/>
        <c:axId val="1711077904"/>
        <c:axId val="1711079344"/>
      </c:barChart>
      <c:catAx>
        <c:axId val="1711077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079344"/>
        <c:crosses val="autoZero"/>
        <c:auto val="1"/>
        <c:lblAlgn val="ctr"/>
        <c:lblOffset val="100"/>
        <c:noMultiLvlLbl val="0"/>
      </c:catAx>
      <c:valAx>
        <c:axId val="1711079344"/>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07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[project123.xlsx]DATA!PivotTable1</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Borrower Risk Distribution</a:t>
            </a:r>
          </a:p>
        </c:rich>
      </c:tx>
      <c:layout>
        <c:manualLayout>
          <c:xMode val="edge"/>
          <c:yMode val="edge"/>
          <c:x val="0.14505537388101056"/>
          <c:y val="4.838711433183871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pivotFmt>
      <c:pivotFmt>
        <c:idx val="12"/>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DATA!$I$18</c:f>
              <c:strCache>
                <c:ptCount val="1"/>
                <c:pt idx="0">
                  <c:v>Total</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F17-4755-B556-B1B7947D6A02}"/>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F17-4755-B556-B1B7947D6A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DATA!$H$19:$H$21</c:f>
              <c:strCache>
                <c:ptCount val="2"/>
                <c:pt idx="0">
                  <c:v>Medium Risk</c:v>
                </c:pt>
                <c:pt idx="1">
                  <c:v>Low Risk</c:v>
                </c:pt>
              </c:strCache>
            </c:strRef>
          </c:cat>
          <c:val>
            <c:numRef>
              <c:f>DATA!$I$19:$I$21</c:f>
              <c:numCache>
                <c:formatCode>General</c:formatCode>
                <c:ptCount val="2"/>
                <c:pt idx="0">
                  <c:v>4</c:v>
                </c:pt>
                <c:pt idx="1">
                  <c:v>1</c:v>
                </c:pt>
              </c:numCache>
            </c:numRef>
          </c:val>
          <c:extLst>
            <c:ext xmlns:c16="http://schemas.microsoft.com/office/drawing/2014/chart" uri="{C3380CC4-5D6E-409C-BE32-E72D297353CC}">
              <c16:uniqueId val="{00000004-3F17-4755-B556-B1B7947D6A02}"/>
            </c:ext>
          </c:extLst>
        </c:ser>
        <c:dLbls>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[project123.xlsx]DATA!PivotTable3</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100">
                <a:latin typeface="Segoe UI Semibold" panose="020B0702040204020203" pitchFamily="34" charset="0"/>
                <a:cs typeface="Segoe UI Semibold" panose="020B0702040204020203" pitchFamily="34" charset="0"/>
              </a:rPr>
              <a:t>Average Delay Days by Risk Segment</a:t>
            </a:r>
            <a:endParaRPr lang="en-US" sz="1100">
              <a:latin typeface="Segoe UI Semibold" panose="020B0702040204020203" pitchFamily="34" charset="0"/>
              <a:cs typeface="Segoe UI Semibold" panose="020B0702040204020203" pitchFamily="34" charset="0"/>
            </a:endParaRPr>
          </a:p>
        </c:rich>
      </c:tx>
      <c:layout>
        <c:manualLayout>
          <c:xMode val="edge"/>
          <c:yMode val="edge"/>
          <c:x val="0.14635569303759866"/>
          <c:y val="5.05618201193577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DATA!$L$11</c:f>
              <c:strCache>
                <c:ptCount val="1"/>
                <c:pt idx="0">
                  <c:v>Total</c:v>
                </c:pt>
              </c:strCache>
            </c:strRef>
          </c:tx>
          <c:spPr>
            <a:solidFill>
              <a:schemeClr val="accent1"/>
            </a:solidFill>
            <a:ln>
              <a:noFill/>
            </a:ln>
            <a:effectLst/>
          </c:spPr>
          <c:invertIfNegative val="0"/>
          <c:cat>
            <c:strRef>
              <c:f>DATA!$K$12:$K$14</c:f>
              <c:strCache>
                <c:ptCount val="2"/>
                <c:pt idx="0">
                  <c:v>Medium Risk</c:v>
                </c:pt>
                <c:pt idx="1">
                  <c:v>Low Risk</c:v>
                </c:pt>
              </c:strCache>
            </c:strRef>
          </c:cat>
          <c:val>
            <c:numRef>
              <c:f>DATA!$L$12:$L$14</c:f>
              <c:numCache>
                <c:formatCode>General</c:formatCode>
                <c:ptCount val="2"/>
                <c:pt idx="0">
                  <c:v>1.25</c:v>
                </c:pt>
                <c:pt idx="1">
                  <c:v>0</c:v>
                </c:pt>
              </c:numCache>
            </c:numRef>
          </c:val>
          <c:extLst>
            <c:ext xmlns:c16="http://schemas.microsoft.com/office/drawing/2014/chart" uri="{C3380CC4-5D6E-409C-BE32-E72D297353CC}">
              <c16:uniqueId val="{00000000-0CCA-465F-A84A-345E9B13F0C5}"/>
            </c:ext>
          </c:extLst>
        </c:ser>
        <c:dLbls>
          <c:showLegendKey val="0"/>
          <c:showVal val="0"/>
          <c:showCatName val="0"/>
          <c:showSerName val="0"/>
          <c:showPercent val="0"/>
          <c:showBubbleSize val="0"/>
        </c:dLbls>
        <c:gapWidth val="150"/>
        <c:overlap val="100"/>
        <c:axId val="1711077904"/>
        <c:axId val="1711079344"/>
      </c:barChart>
      <c:catAx>
        <c:axId val="1711077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11079344"/>
        <c:crosses val="autoZero"/>
        <c:auto val="1"/>
        <c:lblAlgn val="ctr"/>
        <c:lblOffset val="100"/>
        <c:noMultiLvlLbl val="0"/>
      </c:catAx>
      <c:valAx>
        <c:axId val="1711079344"/>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1107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[project123.xlsx]DATA!PivotTable2</c:name>
    <c:fmtId val="2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100" b="1">
                <a:latin typeface="Segoe UI Semibold" panose="020B0702040204020203" pitchFamily="34" charset="0"/>
                <a:cs typeface="Segoe UI Semibold" panose="020B0702040204020203" pitchFamily="34" charset="0"/>
              </a:rPr>
              <a:t>Average Loan-to-Income Ratio by Risk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pivotFmt>
    </c:pivotFmts>
    <c:plotArea>
      <c:layout/>
      <c:barChart>
        <c:barDir val="bar"/>
        <c:grouping val="clustered"/>
        <c:varyColors val="0"/>
        <c:ser>
          <c:idx val="0"/>
          <c:order val="0"/>
          <c:tx>
            <c:strRef>
              <c:f>DATA!$C$27</c:f>
              <c:strCache>
                <c:ptCount val="1"/>
                <c:pt idx="0">
                  <c:v>Total</c:v>
                </c:pt>
              </c:strCache>
            </c:strRef>
          </c:tx>
          <c:spPr>
            <a:solidFill>
              <a:schemeClr val="accent1"/>
            </a:solidFill>
            <a:ln>
              <a:noFill/>
            </a:ln>
            <a:effectLst/>
          </c:spPr>
          <c:invertIfNegative val="0"/>
          <c:dLbls>
            <c:delete val="1"/>
          </c:dLbls>
          <c:cat>
            <c:strRef>
              <c:f>DATA!$B$28:$B$30</c:f>
              <c:strCache>
                <c:ptCount val="2"/>
                <c:pt idx="0">
                  <c:v>Medium Risk</c:v>
                </c:pt>
                <c:pt idx="1">
                  <c:v>Low Risk</c:v>
                </c:pt>
              </c:strCache>
            </c:strRef>
          </c:cat>
          <c:val>
            <c:numRef>
              <c:f>DATA!$C$28:$C$30</c:f>
              <c:numCache>
                <c:formatCode>General</c:formatCode>
                <c:ptCount val="2"/>
                <c:pt idx="0">
                  <c:v>0.54166666666666496</c:v>
                </c:pt>
                <c:pt idx="1">
                  <c:v>0.625</c:v>
                </c:pt>
              </c:numCache>
            </c:numRef>
          </c:val>
          <c:extLst>
            <c:ext xmlns:c16="http://schemas.microsoft.com/office/drawing/2014/chart" uri="{C3380CC4-5D6E-409C-BE32-E72D297353CC}">
              <c16:uniqueId val="{00000000-7EC5-485A-BDE6-ACAE7807020C}"/>
            </c:ext>
          </c:extLst>
        </c:ser>
        <c:dLbls>
          <c:dLblPos val="outEnd"/>
          <c:showLegendKey val="0"/>
          <c:showVal val="1"/>
          <c:showCatName val="0"/>
          <c:showSerName val="0"/>
          <c:showPercent val="0"/>
          <c:showBubbleSize val="0"/>
        </c:dLbls>
        <c:gapWidth val="150"/>
        <c:axId val="205462832"/>
        <c:axId val="205463312"/>
      </c:barChart>
      <c:catAx>
        <c:axId val="205462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5463312"/>
        <c:crosses val="autoZero"/>
        <c:auto val="1"/>
        <c:lblAlgn val="ctr"/>
        <c:lblOffset val="100"/>
        <c:noMultiLvlLbl val="0"/>
      </c:catAx>
      <c:valAx>
        <c:axId val="205463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546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473074</xdr:colOff>
      <xdr:row>6</xdr:row>
      <xdr:rowOff>94467</xdr:rowOff>
    </xdr:from>
    <xdr:to>
      <xdr:col>7</xdr:col>
      <xdr:colOff>673536</xdr:colOff>
      <xdr:row>12</xdr:row>
      <xdr:rowOff>4601</xdr:rowOff>
    </xdr:to>
    <mc:AlternateContent xmlns:mc="http://schemas.openxmlformats.org/markup-compatibility/2006">
      <mc:Choice xmlns:a14="http://schemas.microsoft.com/office/drawing/2010/main" Requires="a14">
        <xdr:graphicFrame macro="">
          <xdr:nvGraphicFramePr>
            <xdr:cNvPr id="6" name="risk_segment">
              <a:extLst>
                <a:ext uri="{FF2B5EF4-FFF2-40B4-BE49-F238E27FC236}">
                  <a16:creationId xmlns:a16="http://schemas.microsoft.com/office/drawing/2014/main" id="{640245FE-41C7-7D8D-BED6-701134F14EAD}"/>
                </a:ext>
              </a:extLst>
            </xdr:cNvPr>
            <xdr:cNvGraphicFramePr/>
          </xdr:nvGraphicFramePr>
          <xdr:xfrm>
            <a:off x="0" y="0"/>
            <a:ext cx="0" cy="0"/>
          </xdr:xfrm>
          <a:graphic>
            <a:graphicData uri="http://schemas.microsoft.com/office/drawing/2010/slicer">
              <sle:slicer xmlns:sle="http://schemas.microsoft.com/office/drawing/2010/slicer" name="risk_segment"/>
            </a:graphicData>
          </a:graphic>
        </xdr:graphicFrame>
      </mc:Choice>
      <mc:Fallback>
        <xdr:sp macro="" textlink="">
          <xdr:nvSpPr>
            <xdr:cNvPr id="0" name=""/>
            <xdr:cNvSpPr>
              <a:spLocks noTextEdit="1"/>
            </xdr:cNvSpPr>
          </xdr:nvSpPr>
          <xdr:spPr>
            <a:xfrm>
              <a:off x="4476335" y="1198815"/>
              <a:ext cx="1829375" cy="10144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1222893</xdr:colOff>
      <xdr:row>17</xdr:row>
      <xdr:rowOff>152199</xdr:rowOff>
    </xdr:from>
    <xdr:to>
      <xdr:col>6</xdr:col>
      <xdr:colOff>85701</xdr:colOff>
      <xdr:row>28</xdr:row>
      <xdr:rowOff>73049</xdr:rowOff>
    </xdr:to>
    <xdr:graphicFrame macro="">
      <xdr:nvGraphicFramePr>
        <xdr:cNvPr id="2" name="Chart 1">
          <a:extLst>
            <a:ext uri="{FF2B5EF4-FFF2-40B4-BE49-F238E27FC236}">
              <a16:creationId xmlns:a16="http://schemas.microsoft.com/office/drawing/2014/main" id="{C71BFE67-CEEC-54A0-A6FD-522491F3C4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101289</xdr:colOff>
      <xdr:row>7</xdr:row>
      <xdr:rowOff>51542</xdr:rowOff>
    </xdr:from>
    <xdr:to>
      <xdr:col>4</xdr:col>
      <xdr:colOff>204765</xdr:colOff>
      <xdr:row>17</xdr:row>
      <xdr:rowOff>70459</xdr:rowOff>
    </xdr:to>
    <xdr:graphicFrame macro="">
      <xdr:nvGraphicFramePr>
        <xdr:cNvPr id="3" name="Chart 2">
          <a:extLst>
            <a:ext uri="{FF2B5EF4-FFF2-40B4-BE49-F238E27FC236}">
              <a16:creationId xmlns:a16="http://schemas.microsoft.com/office/drawing/2014/main" id="{924BA49D-3A8C-98E0-7C3A-6E4CC23248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64419</xdr:colOff>
      <xdr:row>15</xdr:row>
      <xdr:rowOff>31841</xdr:rowOff>
    </xdr:from>
    <xdr:to>
      <xdr:col>13</xdr:col>
      <xdr:colOff>138042</xdr:colOff>
      <xdr:row>24</xdr:row>
      <xdr:rowOff>9203</xdr:rowOff>
    </xdr:to>
    <xdr:graphicFrame macro="">
      <xdr:nvGraphicFramePr>
        <xdr:cNvPr id="4" name="Chart 3">
          <a:extLst>
            <a:ext uri="{FF2B5EF4-FFF2-40B4-BE49-F238E27FC236}">
              <a16:creationId xmlns:a16="http://schemas.microsoft.com/office/drawing/2014/main" id="{B1E08D7A-8B8A-87C4-B229-9367AE0C6F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262467</xdr:colOff>
      <xdr:row>0</xdr:row>
      <xdr:rowOff>177800</xdr:rowOff>
    </xdr:from>
    <xdr:to>
      <xdr:col>19</xdr:col>
      <xdr:colOff>135467</xdr:colOff>
      <xdr:row>25</xdr:row>
      <xdr:rowOff>127000</xdr:rowOff>
    </xdr:to>
    <xdr:sp macro="" textlink="">
      <xdr:nvSpPr>
        <xdr:cNvPr id="2" name="Rectangle 1">
          <a:extLst>
            <a:ext uri="{FF2B5EF4-FFF2-40B4-BE49-F238E27FC236}">
              <a16:creationId xmlns:a16="http://schemas.microsoft.com/office/drawing/2014/main" id="{C0F3D368-6AE6-0161-26A5-65B2788E919F}"/>
            </a:ext>
          </a:extLst>
        </xdr:cNvPr>
        <xdr:cNvSpPr/>
      </xdr:nvSpPr>
      <xdr:spPr>
        <a:xfrm>
          <a:off x="3310467" y="177800"/>
          <a:ext cx="8407400" cy="460586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457203</xdr:colOff>
      <xdr:row>1</xdr:row>
      <xdr:rowOff>50800</xdr:rowOff>
    </xdr:from>
    <xdr:to>
      <xdr:col>18</xdr:col>
      <xdr:colOff>584203</xdr:colOff>
      <xdr:row>4</xdr:row>
      <xdr:rowOff>93133</xdr:rowOff>
    </xdr:to>
    <xdr:sp macro="" textlink="">
      <xdr:nvSpPr>
        <xdr:cNvPr id="3" name="Rectangle 2">
          <a:extLst>
            <a:ext uri="{FF2B5EF4-FFF2-40B4-BE49-F238E27FC236}">
              <a16:creationId xmlns:a16="http://schemas.microsoft.com/office/drawing/2014/main" id="{A159B173-CE05-2B2E-B295-45EBCCB9DD15}"/>
            </a:ext>
          </a:extLst>
        </xdr:cNvPr>
        <xdr:cNvSpPr/>
      </xdr:nvSpPr>
      <xdr:spPr>
        <a:xfrm>
          <a:off x="3505203" y="237067"/>
          <a:ext cx="8051800" cy="601133"/>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500">
              <a:solidFill>
                <a:schemeClr val="bg1"/>
              </a:solidFill>
              <a:latin typeface="Segoe UI Black" panose="020B0A02040204020203" pitchFamily="34" charset="0"/>
              <a:ea typeface="Segoe UI Black" panose="020B0A02040204020203" pitchFamily="34" charset="0"/>
            </a:rPr>
            <a:t>Credit Risk Analysis Dashboard</a:t>
          </a:r>
        </a:p>
      </xdr:txBody>
    </xdr:sp>
    <xdr:clientData/>
  </xdr:twoCellAnchor>
  <xdr:twoCellAnchor>
    <xdr:from>
      <xdr:col>5</xdr:col>
      <xdr:colOff>457197</xdr:colOff>
      <xdr:row>5</xdr:row>
      <xdr:rowOff>10587</xdr:rowOff>
    </xdr:from>
    <xdr:to>
      <xdr:col>8</xdr:col>
      <xdr:colOff>364063</xdr:colOff>
      <xdr:row>8</xdr:row>
      <xdr:rowOff>116418</xdr:rowOff>
    </xdr:to>
    <xdr:sp macro="" textlink="">
      <xdr:nvSpPr>
        <xdr:cNvPr id="4" name="Rectangle: Rounded Corners 3">
          <a:extLst>
            <a:ext uri="{FF2B5EF4-FFF2-40B4-BE49-F238E27FC236}">
              <a16:creationId xmlns:a16="http://schemas.microsoft.com/office/drawing/2014/main" id="{AF13E716-4F42-07C5-F4A0-E93A9B150FB0}"/>
            </a:ext>
          </a:extLst>
        </xdr:cNvPr>
        <xdr:cNvSpPr/>
      </xdr:nvSpPr>
      <xdr:spPr>
        <a:xfrm>
          <a:off x="3505197" y="941920"/>
          <a:ext cx="1735666" cy="664631"/>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a:solidFill>
                <a:schemeClr val="accent1"/>
              </a:solidFill>
            </a:rPr>
            <a:t>Total Borrowers</a:t>
          </a:r>
        </a:p>
        <a:p>
          <a:pPr algn="ctr"/>
          <a:r>
            <a:rPr lang="en-IN" sz="1700" b="1">
              <a:solidFill>
                <a:schemeClr val="accent1">
                  <a:lumMod val="50000"/>
                </a:schemeClr>
              </a:solidFill>
            </a:rPr>
            <a:t>5</a:t>
          </a:r>
        </a:p>
      </xdr:txBody>
    </xdr:sp>
    <xdr:clientData/>
  </xdr:twoCellAnchor>
  <xdr:twoCellAnchor>
    <xdr:from>
      <xdr:col>12</xdr:col>
      <xdr:colOff>347131</xdr:colOff>
      <xdr:row>5</xdr:row>
      <xdr:rowOff>14819</xdr:rowOff>
    </xdr:from>
    <xdr:to>
      <xdr:col>15</xdr:col>
      <xdr:colOff>282218</xdr:colOff>
      <xdr:row>8</xdr:row>
      <xdr:rowOff>112185</xdr:rowOff>
    </xdr:to>
    <xdr:sp macro="" textlink="">
      <xdr:nvSpPr>
        <xdr:cNvPr id="6" name="Rectangle: Rounded Corners 5">
          <a:extLst>
            <a:ext uri="{FF2B5EF4-FFF2-40B4-BE49-F238E27FC236}">
              <a16:creationId xmlns:a16="http://schemas.microsoft.com/office/drawing/2014/main" id="{2D5839F3-760F-4CAC-B6BA-D3E288A1D4FC}"/>
            </a:ext>
          </a:extLst>
        </xdr:cNvPr>
        <xdr:cNvSpPr/>
      </xdr:nvSpPr>
      <xdr:spPr>
        <a:xfrm>
          <a:off x="7662331" y="946152"/>
          <a:ext cx="1763887" cy="656166"/>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accent1"/>
              </a:solidFill>
            </a:rPr>
            <a:t>Avg Loan-to-Income</a:t>
          </a:r>
        </a:p>
        <a:p>
          <a:pPr algn="ctr"/>
          <a:r>
            <a:rPr lang="en-IN" sz="1700" b="1">
              <a:solidFill>
                <a:schemeClr val="tx2"/>
              </a:solidFill>
            </a:rPr>
            <a:t>19.2</a:t>
          </a:r>
        </a:p>
      </xdr:txBody>
    </xdr:sp>
    <xdr:clientData/>
  </xdr:twoCellAnchor>
  <xdr:twoCellAnchor>
    <xdr:from>
      <xdr:col>9</xdr:col>
      <xdr:colOff>81842</xdr:colOff>
      <xdr:row>5</xdr:row>
      <xdr:rowOff>2119</xdr:rowOff>
    </xdr:from>
    <xdr:to>
      <xdr:col>12</xdr:col>
      <xdr:colOff>19752</xdr:colOff>
      <xdr:row>8</xdr:row>
      <xdr:rowOff>124885</xdr:rowOff>
    </xdr:to>
    <xdr:sp macro="" textlink="">
      <xdr:nvSpPr>
        <xdr:cNvPr id="5" name="Rectangle: Rounded Corners 4">
          <a:extLst>
            <a:ext uri="{FF2B5EF4-FFF2-40B4-BE49-F238E27FC236}">
              <a16:creationId xmlns:a16="http://schemas.microsoft.com/office/drawing/2014/main" id="{1CEA077E-1D5A-4E0C-BD31-4B947200C1B5}"/>
            </a:ext>
          </a:extLst>
        </xdr:cNvPr>
        <xdr:cNvSpPr/>
      </xdr:nvSpPr>
      <xdr:spPr>
        <a:xfrm>
          <a:off x="5568242" y="933452"/>
          <a:ext cx="1766710" cy="681566"/>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b="0">
              <a:solidFill>
                <a:schemeClr val="accent1"/>
              </a:solidFill>
            </a:rPr>
            <a:t>High Risk %</a:t>
          </a:r>
        </a:p>
        <a:p>
          <a:pPr algn="ctr"/>
          <a:r>
            <a:rPr lang="en-IN" sz="1700" b="1">
              <a:solidFill>
                <a:schemeClr val="accent1">
                  <a:lumMod val="50000"/>
                </a:schemeClr>
              </a:solidFill>
            </a:rPr>
            <a:t>20%</a:t>
          </a:r>
        </a:p>
      </xdr:txBody>
    </xdr:sp>
    <xdr:clientData/>
  </xdr:twoCellAnchor>
  <xdr:twoCellAnchor>
    <xdr:from>
      <xdr:col>15</xdr:col>
      <xdr:colOff>609598</xdr:colOff>
      <xdr:row>4</xdr:row>
      <xdr:rowOff>182035</xdr:rowOff>
    </xdr:from>
    <xdr:to>
      <xdr:col>18</xdr:col>
      <xdr:colOff>533396</xdr:colOff>
      <xdr:row>8</xdr:row>
      <xdr:rowOff>131235</xdr:rowOff>
    </xdr:to>
    <xdr:sp macro="" textlink="">
      <xdr:nvSpPr>
        <xdr:cNvPr id="7" name="Rectangle: Rounded Corners 6">
          <a:extLst>
            <a:ext uri="{FF2B5EF4-FFF2-40B4-BE49-F238E27FC236}">
              <a16:creationId xmlns:a16="http://schemas.microsoft.com/office/drawing/2014/main" id="{4AF7CE86-8A70-45F2-8226-74F1B85B4CAE}"/>
            </a:ext>
          </a:extLst>
        </xdr:cNvPr>
        <xdr:cNvSpPr/>
      </xdr:nvSpPr>
      <xdr:spPr>
        <a:xfrm>
          <a:off x="9753598" y="927102"/>
          <a:ext cx="1752598" cy="694266"/>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a:solidFill>
                <a:schemeClr val="accent1"/>
              </a:solidFill>
            </a:rPr>
            <a:t>Late Payment %</a:t>
          </a:r>
        </a:p>
        <a:p>
          <a:pPr algn="ctr"/>
          <a:r>
            <a:rPr lang="en-IN" sz="1700" b="1">
              <a:solidFill>
                <a:schemeClr val="tx2"/>
              </a:solidFill>
            </a:rPr>
            <a:t>60%</a:t>
          </a:r>
        </a:p>
      </xdr:txBody>
    </xdr:sp>
    <xdr:clientData/>
  </xdr:twoCellAnchor>
  <xdr:twoCellAnchor>
    <xdr:from>
      <xdr:col>5</xdr:col>
      <xdr:colOff>440266</xdr:colOff>
      <xdr:row>9</xdr:row>
      <xdr:rowOff>110067</xdr:rowOff>
    </xdr:from>
    <xdr:to>
      <xdr:col>8</xdr:col>
      <xdr:colOff>533401</xdr:colOff>
      <xdr:row>19</xdr:row>
      <xdr:rowOff>84666</xdr:rowOff>
    </xdr:to>
    <xdr:graphicFrame macro="">
      <xdr:nvGraphicFramePr>
        <xdr:cNvPr id="11" name="Chart 10">
          <a:extLst>
            <a:ext uri="{FF2B5EF4-FFF2-40B4-BE49-F238E27FC236}">
              <a16:creationId xmlns:a16="http://schemas.microsoft.com/office/drawing/2014/main" id="{84F547BE-6CDA-45DF-AD5C-75D050F58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80434</xdr:colOff>
      <xdr:row>9</xdr:row>
      <xdr:rowOff>131234</xdr:rowOff>
    </xdr:from>
    <xdr:to>
      <xdr:col>13</xdr:col>
      <xdr:colOff>292102</xdr:colOff>
      <xdr:row>19</xdr:row>
      <xdr:rowOff>63499</xdr:rowOff>
    </xdr:to>
    <xdr:graphicFrame macro="">
      <xdr:nvGraphicFramePr>
        <xdr:cNvPr id="12" name="Chart 11">
          <a:extLst>
            <a:ext uri="{FF2B5EF4-FFF2-40B4-BE49-F238E27FC236}">
              <a16:creationId xmlns:a16="http://schemas.microsoft.com/office/drawing/2014/main" id="{78A4BD1F-9393-44A7-84F2-A6B8CC764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431802</xdr:colOff>
      <xdr:row>19</xdr:row>
      <xdr:rowOff>173565</xdr:rowOff>
    </xdr:from>
    <xdr:to>
      <xdr:col>8</xdr:col>
      <xdr:colOff>532002</xdr:colOff>
      <xdr:row>25</xdr:row>
      <xdr:rowOff>27965</xdr:rowOff>
    </xdr:to>
    <mc:AlternateContent xmlns:mc="http://schemas.openxmlformats.org/markup-compatibility/2006">
      <mc:Choice xmlns:a14="http://schemas.microsoft.com/office/drawing/2010/main" Requires="a14">
        <xdr:graphicFrame macro="">
          <xdr:nvGraphicFramePr>
            <xdr:cNvPr id="13" name="risk_segment 2">
              <a:extLst>
                <a:ext uri="{FF2B5EF4-FFF2-40B4-BE49-F238E27FC236}">
                  <a16:creationId xmlns:a16="http://schemas.microsoft.com/office/drawing/2014/main" id="{D00C0C04-429E-4344-B78F-BFC242914872}"/>
                </a:ext>
              </a:extLst>
            </xdr:cNvPr>
            <xdr:cNvGraphicFramePr/>
          </xdr:nvGraphicFramePr>
          <xdr:xfrm>
            <a:off x="0" y="0"/>
            <a:ext cx="0" cy="0"/>
          </xdr:xfrm>
          <a:graphic>
            <a:graphicData uri="http://schemas.microsoft.com/office/drawing/2010/slicer">
              <sle:slicer xmlns:sle="http://schemas.microsoft.com/office/drawing/2010/slicer" name="risk_segment 2"/>
            </a:graphicData>
          </a:graphic>
        </xdr:graphicFrame>
      </mc:Choice>
      <mc:Fallback>
        <xdr:sp macro="" textlink="">
          <xdr:nvSpPr>
            <xdr:cNvPr id="0" name=""/>
            <xdr:cNvSpPr>
              <a:spLocks noTextEdit="1"/>
            </xdr:cNvSpPr>
          </xdr:nvSpPr>
          <xdr:spPr>
            <a:xfrm>
              <a:off x="3479802" y="3712632"/>
              <a:ext cx="1929000" cy="97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482601</xdr:colOff>
      <xdr:row>19</xdr:row>
      <xdr:rowOff>185432</xdr:rowOff>
    </xdr:from>
    <xdr:to>
      <xdr:col>18</xdr:col>
      <xdr:colOff>584201</xdr:colOff>
      <xdr:row>25</xdr:row>
      <xdr:rowOff>16098</xdr:rowOff>
    </xdr:to>
    <xdr:sp macro="" textlink="">
      <xdr:nvSpPr>
        <xdr:cNvPr id="14" name="TextBox 13">
          <a:extLst>
            <a:ext uri="{FF2B5EF4-FFF2-40B4-BE49-F238E27FC236}">
              <a16:creationId xmlns:a16="http://schemas.microsoft.com/office/drawing/2014/main" id="{CC2B25FB-0F53-1405-81F3-13992AF78F32}"/>
            </a:ext>
          </a:extLst>
        </xdr:cNvPr>
        <xdr:cNvSpPr txBox="1"/>
      </xdr:nvSpPr>
      <xdr:spPr>
        <a:xfrm>
          <a:off x="8407401" y="3724499"/>
          <a:ext cx="3149600" cy="948266"/>
        </a:xfrm>
        <a:prstGeom prst="rect">
          <a:avLst/>
        </a:prstGeom>
        <a:solidFill>
          <a:schemeClr val="accent1">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l"/>
          <a:r>
            <a:rPr lang="en-IN" sz="1300" b="1">
              <a:solidFill>
                <a:srgbClr val="002060"/>
              </a:solidFill>
              <a:latin typeface="Segoe UI Semibold" panose="020B0702040204020203" pitchFamily="34" charset="0"/>
              <a:cs typeface="Segoe UI Semibold" panose="020B0702040204020203" pitchFamily="34" charset="0"/>
            </a:rPr>
            <a:t>Low-risk borrowers (20%) show no delays, </a:t>
          </a:r>
          <a:r>
            <a:rPr lang="en-IN" sz="1200">
              <a:solidFill>
                <a:srgbClr val="0070C0"/>
              </a:solidFill>
              <a:latin typeface="Segoe UI Semibold" panose="020B0702040204020203" pitchFamily="34" charset="0"/>
              <a:cs typeface="Segoe UI Semibold" panose="020B0702040204020203" pitchFamily="34" charset="0"/>
            </a:rPr>
            <a:t>while higher loan-to-income ratios increase risk for others.low-risk customers.</a:t>
          </a:r>
        </a:p>
      </xdr:txBody>
    </xdr:sp>
    <xdr:clientData/>
  </xdr:twoCellAnchor>
  <xdr:twoCellAnchor>
    <xdr:from>
      <xdr:col>9</xdr:col>
      <xdr:colOff>16235</xdr:colOff>
      <xdr:row>19</xdr:row>
      <xdr:rowOff>168498</xdr:rowOff>
    </xdr:from>
    <xdr:to>
      <xdr:col>13</xdr:col>
      <xdr:colOff>388769</xdr:colOff>
      <xdr:row>25</xdr:row>
      <xdr:rowOff>33032</xdr:rowOff>
    </xdr:to>
    <xdr:sp macro="" textlink="">
      <xdr:nvSpPr>
        <xdr:cNvPr id="16" name="TextBox 15">
          <a:extLst>
            <a:ext uri="{FF2B5EF4-FFF2-40B4-BE49-F238E27FC236}">
              <a16:creationId xmlns:a16="http://schemas.microsoft.com/office/drawing/2014/main" id="{54CF259F-5807-C387-510F-445E5D20CB9F}"/>
            </a:ext>
          </a:extLst>
        </xdr:cNvPr>
        <xdr:cNvSpPr txBox="1"/>
      </xdr:nvSpPr>
      <xdr:spPr>
        <a:xfrm>
          <a:off x="5502635" y="3707565"/>
          <a:ext cx="2810934" cy="982134"/>
        </a:xfrm>
        <a:prstGeom prst="rect">
          <a:avLst/>
        </a:prstGeom>
        <a:solidFill>
          <a:schemeClr val="accent1">
            <a:lumMod val="20000"/>
            <a:lumOff val="80000"/>
          </a:schemeClr>
        </a:solidFill>
        <a:ln w="9525"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002060"/>
              </a:solidFill>
              <a:latin typeface="Segoe UI Semibold" panose="020B0702040204020203" pitchFamily="34" charset="0"/>
              <a:cs typeface="Segoe UI Semibold" panose="020B0702040204020203" pitchFamily="34" charset="0"/>
            </a:rPr>
            <a:t>Medium-risk borrowers dominate the portfolio (80%).</a:t>
          </a:r>
          <a:r>
            <a:rPr lang="en-IN" sz="1100">
              <a:solidFill>
                <a:srgbClr val="0070C0"/>
              </a:solidFill>
              <a:latin typeface="Segoe UI Semibold" panose="020B0702040204020203" pitchFamily="34" charset="0"/>
              <a:cs typeface="Segoe UI Semibold" panose="020B0702040204020203" pitchFamily="34" charset="0"/>
            </a:rPr>
            <a:t>These borrowers show small but consistent </a:t>
          </a:r>
          <a:r>
            <a:rPr lang="en-IN">
              <a:solidFill>
                <a:srgbClr val="0070C0"/>
              </a:solidFill>
              <a:latin typeface="Segoe UI Semibold" panose="020B0702040204020203" pitchFamily="34" charset="0"/>
              <a:cs typeface="Segoe UI Semibold" panose="020B0702040204020203" pitchFamily="34" charset="0"/>
            </a:rPr>
            <a:t>delays indicate moderate credit risk.</a:t>
          </a:r>
          <a:endParaRPr lang="en-IN" sz="1100">
            <a:solidFill>
              <a:srgbClr val="0070C0"/>
            </a:solidFill>
            <a:latin typeface="Segoe UI Semibold" panose="020B0702040204020203" pitchFamily="34" charset="0"/>
            <a:cs typeface="Segoe UI Semibold" panose="020B0702040204020203" pitchFamily="34" charset="0"/>
          </a:endParaRPr>
        </a:p>
      </xdr:txBody>
    </xdr:sp>
    <xdr:clientData/>
  </xdr:twoCellAnchor>
  <xdr:twoCellAnchor>
    <xdr:from>
      <xdr:col>13</xdr:col>
      <xdr:colOff>448736</xdr:colOff>
      <xdr:row>9</xdr:row>
      <xdr:rowOff>139700</xdr:rowOff>
    </xdr:from>
    <xdr:to>
      <xdr:col>18</xdr:col>
      <xdr:colOff>550336</xdr:colOff>
      <xdr:row>19</xdr:row>
      <xdr:rowOff>55033</xdr:rowOff>
    </xdr:to>
    <xdr:graphicFrame macro="">
      <xdr:nvGraphicFramePr>
        <xdr:cNvPr id="17" name="Chart 16">
          <a:extLst>
            <a:ext uri="{FF2B5EF4-FFF2-40B4-BE49-F238E27FC236}">
              <a16:creationId xmlns:a16="http://schemas.microsoft.com/office/drawing/2014/main" id="{40485553-0D25-4CAD-84CB-66925A89CE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shka gupta" refreshedDate="46022.457506944447" createdVersion="8" refreshedVersion="8" minRefreshableVersion="3" recordCount="5" xr:uid="{5D887819-AF34-409B-8AC6-3CC2694F3692}">
  <cacheSource type="worksheet">
    <worksheetSource name="CreditRiskScorecard"/>
  </cacheSource>
  <cacheFields count="12">
    <cacheField name="borrower_id" numFmtId="0">
      <sharedItems containsSemiMixedTypes="0" containsString="0" containsNumber="1" containsInteger="1" minValue="1" maxValue="5"/>
    </cacheField>
    <cacheField name="age" numFmtId="0">
      <sharedItems containsSemiMixedTypes="0" containsString="0" containsNumber="1" containsInteger="1" minValue="25" maxValue="52"/>
    </cacheField>
    <cacheField name="income" numFmtId="0">
      <sharedItems containsSemiMixedTypes="0" containsString="0" containsNumber="1" containsInteger="1" minValue="300000" maxValue="1200000"/>
    </cacheField>
    <cacheField name="loan_to_income_ratio" numFmtId="0">
      <sharedItems containsSemiMixedTypes="0" containsString="0" containsNumber="1" minValue="0.5" maxValue="0.66666666666665997"/>
    </cacheField>
    <cacheField name="avg_delay_days" numFmtId="0">
      <sharedItems containsSemiMixedTypes="0" containsString="0" containsNumber="1" containsInteger="1" minValue="0" maxValue="2"/>
    </cacheField>
    <cacheField name="late_payment_count" numFmtId="0">
      <sharedItems containsSemiMixedTypes="0" containsString="0" containsNumber="1" minValue="0.5" maxValue="0.66666666666665997"/>
    </cacheField>
    <cacheField name="age_points" numFmtId="0">
      <sharedItems containsSemiMixedTypes="0" containsString="0" containsNumber="1" containsInteger="1" minValue="20" maxValue="30"/>
    </cacheField>
    <cacheField name="lti_points" numFmtId="0">
      <sharedItems containsSemiMixedTypes="0" containsString="0" containsNumber="1" containsInteger="1" minValue="10" maxValue="30"/>
    </cacheField>
    <cacheField name="delay_points" numFmtId="0">
      <sharedItems containsSemiMixedTypes="0" containsString="0" containsNumber="1" containsInteger="1" minValue="30" maxValue="50"/>
    </cacheField>
    <cacheField name="late_count_points" numFmtId="0">
      <sharedItems containsSemiMixedTypes="0" containsString="0" containsNumber="1" containsInteger="1" minValue="30" maxValue="30"/>
    </cacheField>
    <cacheField name="total_score" numFmtId="0">
      <sharedItems containsSemiMixedTypes="0" containsString="0" containsNumber="1" containsInteger="1" minValue="100" maxValue="120"/>
    </cacheField>
    <cacheField name="risk_segment" numFmtId="0">
      <sharedItems count="3">
        <s v="Medium Risk"/>
        <s v="Low Risk"/>
        <s v="High Risk" u="1"/>
      </sharedItems>
    </cacheField>
  </cacheFields>
  <extLst>
    <ext xmlns:x14="http://schemas.microsoft.com/office/spreadsheetml/2009/9/main" uri="{725AE2AE-9491-48be-B2B4-4EB974FC3084}">
      <x14:pivotCacheDefinition pivotCacheId="10353497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n v="1"/>
    <n v="25"/>
    <n v="400000"/>
    <n v="0.5"/>
    <n v="2"/>
    <n v="0.5"/>
    <n v="20"/>
    <n v="30"/>
    <n v="30"/>
    <n v="30"/>
    <n v="110"/>
    <x v="0"/>
  </r>
  <r>
    <n v="2"/>
    <n v="35"/>
    <n v="800000"/>
    <n v="0.625"/>
    <n v="0"/>
    <n v="0.625"/>
    <n v="30"/>
    <n v="10"/>
    <n v="50"/>
    <n v="30"/>
    <n v="120"/>
    <x v="1"/>
  </r>
  <r>
    <n v="3"/>
    <n v="45"/>
    <n v="1200000"/>
    <n v="0.66666666666665997"/>
    <n v="1"/>
    <n v="0.66666666666665997"/>
    <n v="30"/>
    <n v="10"/>
    <n v="30"/>
    <n v="30"/>
    <n v="100"/>
    <x v="0"/>
  </r>
  <r>
    <n v="4"/>
    <n v="29"/>
    <n v="300000"/>
    <n v="0.5"/>
    <n v="1"/>
    <n v="0.5"/>
    <n v="20"/>
    <n v="30"/>
    <n v="30"/>
    <n v="30"/>
    <n v="110"/>
    <x v="0"/>
  </r>
  <r>
    <n v="5"/>
    <n v="52"/>
    <n v="600000"/>
    <n v="0.5"/>
    <n v="1"/>
    <n v="0.5"/>
    <n v="25"/>
    <n v="30"/>
    <n v="30"/>
    <n v="30"/>
    <n v="11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11D00B-AB37-48E2-A334-A8030E491E27}"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11:L14" firstHeaderRow="1" firstDataRow="1" firstDataCol="1"/>
  <pivotFields count="12">
    <pivotField showAll="0"/>
    <pivotField showAll="0"/>
    <pivotField showAll="0"/>
    <pivotField showAll="0"/>
    <pivotField dataField="1" showAll="0"/>
    <pivotField showAll="0"/>
    <pivotField showAll="0"/>
    <pivotField showAll="0"/>
    <pivotField showAll="0"/>
    <pivotField showAll="0"/>
    <pivotField showAll="0"/>
    <pivotField axis="axisRow" showAll="0">
      <items count="4">
        <item m="1" x="2"/>
        <item x="0"/>
        <item x="1"/>
        <item t="default"/>
      </items>
    </pivotField>
  </pivotFields>
  <rowFields count="1">
    <field x="11"/>
  </rowFields>
  <rowItems count="3">
    <i>
      <x v="1"/>
    </i>
    <i>
      <x v="2"/>
    </i>
    <i t="grand">
      <x/>
    </i>
  </rowItems>
  <colItems count="1">
    <i/>
  </colItems>
  <dataFields count="1">
    <dataField name="Average of avg_delay_days" fld="4" subtotal="average" baseField="11"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0DE92C-6407-485F-B592-E5A8827A686E}"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B27:C30" firstHeaderRow="1" firstDataRow="1" firstDataCol="1"/>
  <pivotFields count="12">
    <pivotField showAll="0"/>
    <pivotField showAll="0"/>
    <pivotField showAll="0"/>
    <pivotField dataField="1" showAll="0"/>
    <pivotField showAll="0"/>
    <pivotField showAll="0"/>
    <pivotField showAll="0"/>
    <pivotField showAll="0"/>
    <pivotField showAll="0"/>
    <pivotField showAll="0"/>
    <pivotField showAll="0"/>
    <pivotField axis="axisRow" showAll="0">
      <items count="4">
        <item m="1" x="2"/>
        <item x="0"/>
        <item x="1"/>
        <item t="default"/>
      </items>
    </pivotField>
  </pivotFields>
  <rowFields count="1">
    <field x="11"/>
  </rowFields>
  <rowItems count="3">
    <i>
      <x v="1"/>
    </i>
    <i>
      <x v="2"/>
    </i>
    <i t="grand">
      <x/>
    </i>
  </rowItems>
  <colItems count="1">
    <i/>
  </colItems>
  <dataFields count="1">
    <dataField name="Average of loan_to_income_ratio" fld="3" subtotal="average" baseField="11" baseItem="0"/>
  </dataFields>
  <chartFormats count="2">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E8AF74-CA13-4195-A68B-F6C5251448B7}"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18:I21" firstHeaderRow="1" firstDataRow="1" firstDataCol="1"/>
  <pivotFields count="12">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m="1" x="2"/>
        <item x="0"/>
        <item x="1"/>
        <item t="default"/>
      </items>
    </pivotField>
  </pivotFields>
  <rowFields count="1">
    <field x="11"/>
  </rowFields>
  <rowItems count="3">
    <i>
      <x v="1"/>
    </i>
    <i>
      <x v="2"/>
    </i>
    <i t="grand">
      <x/>
    </i>
  </rowItems>
  <colItems count="1">
    <i/>
  </colItems>
  <dataFields count="1">
    <dataField name="Count of risk_segment" fld="11" subtotal="count" baseField="0" baseItem="0"/>
  </dataFields>
  <chartFormats count="6">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1" count="1" selected="0">
            <x v="0"/>
          </reference>
        </references>
      </pivotArea>
    </chartFormat>
    <chartFormat chart="5" format="2">
      <pivotArea type="data" outline="0" fieldPosition="0">
        <references count="2">
          <reference field="4294967294" count="1" selected="0">
            <x v="0"/>
          </reference>
          <reference field="11" count="1" selected="0">
            <x v="1"/>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11" count="1" selected="0">
            <x v="0"/>
          </reference>
        </references>
      </pivotArea>
    </chartFormat>
    <chartFormat chart="14" format="1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C6142FD-CE6E-4086-B06F-AB1B7427102F}" autoFormatId="16" applyNumberFormats="0" applyBorderFormats="0" applyFontFormats="0" applyPatternFormats="0" applyAlignmentFormats="0" applyWidthHeightFormats="0">
  <queryTableRefresh nextId="13">
    <queryTableFields count="12">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segment" xr10:uid="{A245FC11-83BD-4977-98CE-FC1F996F08C2}" sourceName="risk_segment">
  <data>
    <tabular pivotCacheId="1035349730">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_segment" xr10:uid="{6A08055F-1FBB-472B-AA9E-08C8C1292DB4}" cache="Slicer_risk_segment" caption="risk_seg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_segment 2" xr10:uid="{B2861DA3-E66B-425C-802D-453EFAC9FD8D}" cache="Slicer_risk_segment" caption="Risk Segment Filter" rowHeight="1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5F96DC-CC9E-4773-AD82-B8D7398ACD4C}" name="CreditRiskScorecard" displayName="CreditRiskScorecard" ref="A1:L6" tableType="queryTable" totalsRowShown="0">
  <autoFilter ref="A1:L6" xr:uid="{7F5F96DC-CC9E-4773-AD82-B8D7398ACD4C}"/>
  <tableColumns count="12">
    <tableColumn id="1" xr3:uid="{7172CD82-5B6E-4831-A653-CA8B6AB5909E}" uniqueName="1" name="Column1" queryTableFieldId="1"/>
    <tableColumn id="2" xr3:uid="{F7E62DCA-AE89-4D1A-A13F-4C45D08E6331}" uniqueName="2" name="Column2" queryTableFieldId="2"/>
    <tableColumn id="3" xr3:uid="{507C01E0-E500-44BC-8BC6-CEA87E5C92F0}" uniqueName="3" name="Column3" queryTableFieldId="3"/>
    <tableColumn id="4" xr3:uid="{3CCBA1D6-FA18-415F-9122-4951E7363499}" uniqueName="4" name="Column4" queryTableFieldId="4"/>
    <tableColumn id="5" xr3:uid="{98CD912D-A695-4C40-956F-3D9B6A7087AD}" uniqueName="5" name="Column5" queryTableFieldId="5"/>
    <tableColumn id="6" xr3:uid="{08541E56-69D8-4281-B7B4-379A3BE3AE5A}" uniqueName="6" name="Column6" queryTableFieldId="6"/>
    <tableColumn id="7" xr3:uid="{2F8B7D1F-0725-4DB4-A696-F6692B7FEFFB}" uniqueName="7" name="Column7" queryTableFieldId="7"/>
    <tableColumn id="8" xr3:uid="{BA8F37FA-2FF1-448F-B61F-A0EFCC59C49A}" uniqueName="8" name="Column8" queryTableFieldId="8"/>
    <tableColumn id="9" xr3:uid="{3460A4D9-A1FE-4DFE-92F2-734D8B0160D9}" uniqueName="9" name="Column9" queryTableFieldId="9"/>
    <tableColumn id="10" xr3:uid="{E1936C97-59B4-4DBC-8851-4617E622E887}" uniqueName="10" name="Column10" queryTableFieldId="10"/>
    <tableColumn id="11" xr3:uid="{92423139-29B6-4542-A9AA-3885FF5A02B4}" uniqueName="11" name="Column11" queryTableFieldId="11"/>
    <tableColumn id="12" xr3:uid="{840A4151-3B80-4C82-8355-282F33BAB787}" uniqueName="12" name="Column12" queryTableFieldId="12" dataDxf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table" Target="../tables/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60433-CA75-41EC-AFE2-A8EAA0DEA84C}">
  <sheetPr codeName="Sheet1"/>
  <dimension ref="A1:L30"/>
  <sheetViews>
    <sheetView zoomScale="69" workbookViewId="0">
      <pane ySplit="1" topLeftCell="A2" activePane="bottomLeft" state="frozen"/>
      <selection activeCell="C1" sqref="C1"/>
      <selection pane="bottomLeft" activeCell="L13" sqref="L13"/>
    </sheetView>
  </sheetViews>
  <sheetFormatPr defaultRowHeight="14.5" x14ac:dyDescent="0.35"/>
  <cols>
    <col min="1" max="5" width="11.453125" bestFit="1" customWidth="1"/>
    <col min="6" max="6" width="11.81640625" bestFit="1" customWidth="1"/>
    <col min="7" max="9" width="11.453125" bestFit="1" customWidth="1"/>
    <col min="10" max="12" width="12.36328125" bestFit="1" customWidth="1"/>
  </cols>
  <sheetData>
    <row r="1" spans="1:12" x14ac:dyDescent="0.35">
      <c r="A1" t="s">
        <v>8</v>
      </c>
      <c r="B1" t="s">
        <v>9</v>
      </c>
      <c r="C1" t="s">
        <v>10</v>
      </c>
      <c r="D1" t="s">
        <v>11</v>
      </c>
      <c r="E1" t="s">
        <v>12</v>
      </c>
      <c r="F1" t="s">
        <v>13</v>
      </c>
      <c r="G1" t="s">
        <v>14</v>
      </c>
      <c r="H1" t="s">
        <v>15</v>
      </c>
      <c r="I1" t="s">
        <v>16</v>
      </c>
      <c r="J1" t="s">
        <v>17</v>
      </c>
      <c r="K1" t="s">
        <v>18</v>
      </c>
      <c r="L1" t="s">
        <v>19</v>
      </c>
    </row>
    <row r="2" spans="1:12" x14ac:dyDescent="0.35">
      <c r="A2">
        <v>1</v>
      </c>
      <c r="B2">
        <v>25</v>
      </c>
      <c r="C2">
        <v>400000</v>
      </c>
      <c r="D2">
        <v>3</v>
      </c>
      <c r="E2">
        <v>2</v>
      </c>
      <c r="F2">
        <v>0.5</v>
      </c>
      <c r="G2">
        <v>20</v>
      </c>
      <c r="H2">
        <v>30</v>
      </c>
      <c r="I2">
        <v>30</v>
      </c>
      <c r="J2">
        <v>30</v>
      </c>
      <c r="K2">
        <v>110</v>
      </c>
      <c r="L2" t="s">
        <v>0</v>
      </c>
    </row>
    <row r="3" spans="1:12" x14ac:dyDescent="0.35">
      <c r="A3">
        <v>2</v>
      </c>
      <c r="B3">
        <v>35</v>
      </c>
      <c r="C3">
        <v>800000</v>
      </c>
      <c r="D3">
        <v>-1</v>
      </c>
      <c r="E3">
        <v>0</v>
      </c>
      <c r="F3">
        <v>0.625</v>
      </c>
      <c r="G3">
        <v>30</v>
      </c>
      <c r="H3">
        <v>10</v>
      </c>
      <c r="I3">
        <v>10</v>
      </c>
      <c r="J3">
        <v>50</v>
      </c>
      <c r="K3">
        <v>100</v>
      </c>
      <c r="L3" t="s">
        <v>0</v>
      </c>
    </row>
    <row r="4" spans="1:12" x14ac:dyDescent="0.35">
      <c r="A4">
        <v>3</v>
      </c>
      <c r="B4">
        <v>45</v>
      </c>
      <c r="C4">
        <v>1200000</v>
      </c>
      <c r="D4">
        <v>15</v>
      </c>
      <c r="E4">
        <v>1</v>
      </c>
      <c r="F4">
        <v>0.66666666666665997</v>
      </c>
      <c r="G4">
        <v>30</v>
      </c>
      <c r="H4">
        <v>10</v>
      </c>
      <c r="I4">
        <v>10</v>
      </c>
      <c r="J4">
        <v>30</v>
      </c>
      <c r="K4">
        <v>80</v>
      </c>
      <c r="L4" t="s">
        <v>1</v>
      </c>
    </row>
    <row r="5" spans="1:12" x14ac:dyDescent="0.35">
      <c r="A5">
        <v>4</v>
      </c>
      <c r="B5">
        <v>29</v>
      </c>
      <c r="C5">
        <v>300000</v>
      </c>
      <c r="D5">
        <v>1</v>
      </c>
      <c r="E5">
        <v>1</v>
      </c>
      <c r="F5">
        <v>0.5</v>
      </c>
      <c r="G5">
        <v>20</v>
      </c>
      <c r="H5">
        <v>30</v>
      </c>
      <c r="I5">
        <v>30</v>
      </c>
      <c r="J5">
        <v>30</v>
      </c>
      <c r="K5">
        <v>110</v>
      </c>
      <c r="L5" t="s">
        <v>0</v>
      </c>
    </row>
    <row r="6" spans="1:12" x14ac:dyDescent="0.35">
      <c r="A6">
        <v>5</v>
      </c>
      <c r="B6">
        <v>52</v>
      </c>
      <c r="C6">
        <v>600000</v>
      </c>
      <c r="D6">
        <v>20</v>
      </c>
      <c r="E6">
        <v>1</v>
      </c>
      <c r="F6">
        <v>0.5</v>
      </c>
      <c r="G6">
        <v>25</v>
      </c>
      <c r="H6">
        <v>30</v>
      </c>
      <c r="I6">
        <v>10</v>
      </c>
      <c r="J6">
        <v>30</v>
      </c>
      <c r="K6">
        <v>95</v>
      </c>
      <c r="L6" t="s">
        <v>0</v>
      </c>
    </row>
    <row r="11" spans="1:12" x14ac:dyDescent="0.35">
      <c r="K11" s="1" t="s">
        <v>2</v>
      </c>
      <c r="L11" t="s">
        <v>6</v>
      </c>
    </row>
    <row r="12" spans="1:12" x14ac:dyDescent="0.35">
      <c r="K12" s="2" t="s">
        <v>0</v>
      </c>
      <c r="L12" s="3">
        <v>1.25</v>
      </c>
    </row>
    <row r="13" spans="1:12" x14ac:dyDescent="0.35">
      <c r="K13" s="2" t="s">
        <v>7</v>
      </c>
      <c r="L13" s="3">
        <v>0</v>
      </c>
    </row>
    <row r="14" spans="1:12" x14ac:dyDescent="0.35">
      <c r="K14" s="2" t="s">
        <v>3</v>
      </c>
      <c r="L14" s="3">
        <v>1</v>
      </c>
    </row>
    <row r="18" spans="2:9" x14ac:dyDescent="0.35">
      <c r="H18" s="1" t="s">
        <v>2</v>
      </c>
      <c r="I18" t="s">
        <v>4</v>
      </c>
    </row>
    <row r="19" spans="2:9" x14ac:dyDescent="0.35">
      <c r="H19" s="2" t="s">
        <v>0</v>
      </c>
      <c r="I19" s="3">
        <v>4</v>
      </c>
    </row>
    <row r="20" spans="2:9" x14ac:dyDescent="0.35">
      <c r="H20" s="2" t="s">
        <v>7</v>
      </c>
      <c r="I20" s="3">
        <v>1</v>
      </c>
    </row>
    <row r="21" spans="2:9" x14ac:dyDescent="0.35">
      <c r="H21" s="2" t="s">
        <v>3</v>
      </c>
      <c r="I21" s="3">
        <v>5</v>
      </c>
    </row>
    <row r="27" spans="2:9" x14ac:dyDescent="0.35">
      <c r="B27" s="1" t="s">
        <v>2</v>
      </c>
      <c r="C27" t="s">
        <v>5</v>
      </c>
    </row>
    <row r="28" spans="2:9" x14ac:dyDescent="0.35">
      <c r="B28" s="2" t="s">
        <v>0</v>
      </c>
      <c r="C28" s="3">
        <v>0.54166666666666496</v>
      </c>
    </row>
    <row r="29" spans="2:9" x14ac:dyDescent="0.35">
      <c r="B29" s="2" t="s">
        <v>7</v>
      </c>
      <c r="C29" s="3">
        <v>0.625</v>
      </c>
    </row>
    <row r="30" spans="2:9" x14ac:dyDescent="0.35">
      <c r="B30" s="2" t="s">
        <v>3</v>
      </c>
      <c r="C30" s="3">
        <v>0.55833333333333202</v>
      </c>
    </row>
  </sheetData>
  <conditionalFormatting sqref="L1:L11 L29:L1048576">
    <cfRule type="containsText" dxfId="4" priority="2" operator="containsText" text="Low Risk">
      <formula>NOT(ISERROR(SEARCH("Low Risk",L1)))</formula>
    </cfRule>
    <cfRule type="containsText" dxfId="3" priority="3" operator="containsText" text="High Risk">
      <formula>NOT(ISERROR(SEARCH("High Risk",L1)))</formula>
    </cfRule>
    <cfRule type="containsText" dxfId="2" priority="4" operator="containsText" text="Medium Risk">
      <formula>NOT(ISERROR(SEARCH("Medium Risk",L1)))</formula>
    </cfRule>
    <cfRule type="containsText" dxfId="1" priority="5" operator="containsText" text="Low Risk">
      <formula>NOT(ISERROR(SEARCH("Low Risk",L1)))</formula>
    </cfRule>
  </conditionalFormatting>
  <conditionalFormatting sqref="L4">
    <cfRule type="containsText" dxfId="0" priority="1" operator="containsText" text="High Risk">
      <formula>NOT(ISERROR(SEARCH("High Risk",L4)))</formula>
    </cfRule>
  </conditionalFormatting>
  <pageMargins left="0.7" right="0.7" top="0.75" bottom="0.75" header="0.3" footer="0.3"/>
  <drawing r:id="rId4"/>
  <tableParts count="1">
    <tablePart r:id="rId5"/>
  </tableParts>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CD202-FF7A-462F-A1D3-239B9DF60BEB}">
  <dimension ref="A1"/>
  <sheetViews>
    <sheetView showGridLines="0" tabSelected="1" zoomScale="75" zoomScaleNormal="75" workbookViewId="0">
      <selection activeCell="D10" sqref="D10"/>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42B9F3-B31A-4BC6-8C4E-10C3922448A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anushka gupta</dc:creator>
  <cp:lastModifiedBy>anushka gupta</cp:lastModifiedBy>
  <dcterms:created xsi:type="dcterms:W3CDTF">2025-12-30T13:19:27Z</dcterms:created>
  <dcterms:modified xsi:type="dcterms:W3CDTF">2025-12-31T05:54:20Z</dcterms:modified>
</cp:coreProperties>
</file>